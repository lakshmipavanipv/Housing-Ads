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tes &amp; Credentials" sheetId="1" state="visible" r:id="rId1"/>
    <sheet xmlns:r="http://schemas.openxmlformats.org/officeDocument/2006/relationships" name="Property 1 Status" sheetId="2" state="visible" r:id="rId2"/>
    <sheet xmlns:r="http://schemas.openxmlformats.org/officeDocument/2006/relationships" name="Property 2 Status" sheetId="3" state="visible" r:id="rId3"/>
    <sheet xmlns:r="http://schemas.openxmlformats.org/officeDocument/2006/relationships" name="Contacts" sheetId="4" state="visible" r:id="rId4"/>
    <sheet xmlns:r="http://schemas.openxmlformats.org/officeDocument/2006/relationships" name="Dashboar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1F2B5E"/>
      <sz val="13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FFFFFF"/>
      <sz val="14"/>
    </font>
    <font>
      <name val="Calibri"/>
      <b val="1"/>
      <color rgb="00000000"/>
      <sz val="10"/>
    </font>
    <font>
      <name val="Calibri"/>
      <color rgb="007B241C"/>
      <sz val="10"/>
    </font>
    <font>
      <name val="Calibri"/>
      <b val="1"/>
      <color rgb="00FFFFFF"/>
      <sz val="11"/>
    </font>
    <font>
      <name val="Calibri"/>
      <color rgb="00000000"/>
      <sz val="11"/>
    </font>
    <font>
      <name val="Calibri"/>
      <b val="1"/>
      <color rgb="00000000"/>
      <sz val="12"/>
    </font>
  </fonts>
  <fills count="19">
    <fill>
      <patternFill/>
    </fill>
    <fill>
      <patternFill patternType="gray125"/>
    </fill>
    <fill>
      <patternFill patternType="solid">
        <fgColor rgb="00EAF0FB"/>
      </patternFill>
    </fill>
    <fill>
      <patternFill patternType="solid">
        <fgColor rgb="001F2B5E"/>
      </patternFill>
    </fill>
    <fill>
      <patternFill patternType="solid">
        <fgColor rgb="00F2F3F4"/>
      </patternFill>
    </fill>
    <fill>
      <patternFill patternType="solid">
        <fgColor rgb="00EAFAF1"/>
      </patternFill>
    </fill>
    <fill>
      <patternFill patternType="solid">
        <fgColor rgb="00145A32"/>
      </patternFill>
    </fill>
    <fill>
      <patternFill patternType="solid">
        <fgColor rgb="00FEF9E7"/>
      </patternFill>
    </fill>
    <fill>
      <patternFill patternType="solid">
        <fgColor rgb="00EBF5FB"/>
      </patternFill>
    </fill>
    <fill>
      <patternFill patternType="solid">
        <fgColor rgb="001A5276"/>
      </patternFill>
    </fill>
    <fill>
      <patternFill patternType="solid">
        <fgColor rgb="00F5EEF8"/>
      </patternFill>
    </fill>
    <fill>
      <patternFill patternType="solid">
        <fgColor rgb="006C3483"/>
      </patternFill>
    </fill>
    <fill>
      <patternFill patternType="solid">
        <fgColor rgb="007B241C"/>
      </patternFill>
    </fill>
    <fill>
      <patternFill patternType="solid">
        <fgColor rgb="002E4057"/>
      </patternFill>
    </fill>
    <fill>
      <patternFill patternType="solid">
        <fgColor rgb="00D6EAF8"/>
      </patternFill>
    </fill>
    <fill>
      <patternFill patternType="solid">
        <fgColor rgb="00D4EFDF"/>
      </patternFill>
    </fill>
    <fill>
      <patternFill patternType="solid">
        <fgColor rgb="00A9DFBF"/>
      </patternFill>
    </fill>
    <fill>
      <patternFill patternType="solid">
        <fgColor rgb="00FADBD8"/>
      </patternFill>
    </fill>
    <fill>
      <patternFill patternType="solid">
        <fgColor rgb="00EAECE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1" fillId="5" borderId="0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center" wrapText="1"/>
    </xf>
    <xf numFmtId="0" fontId="1" fillId="8" borderId="0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 wrapText="1"/>
    </xf>
    <xf numFmtId="0" fontId="1" fillId="10" borderId="0" applyAlignment="1" pivotButton="0" quotePrefix="0" xfId="0">
      <alignment horizontal="center" vertical="center" wrapText="1"/>
    </xf>
    <xf numFmtId="0" fontId="2" fillId="11" borderId="1" applyAlignment="1" pivotButton="0" quotePrefix="0" xfId="0">
      <alignment horizontal="center" vertical="center" wrapText="1"/>
    </xf>
    <xf numFmtId="0" fontId="4" fillId="12" borderId="0" applyAlignment="1" pivotButton="0" quotePrefix="0" xfId="0">
      <alignment horizontal="center" vertical="center" wrapText="1"/>
    </xf>
    <xf numFmtId="0" fontId="5" fillId="0" borderId="0" pivotButton="0" quotePrefix="0" xfId="0"/>
    <xf numFmtId="0" fontId="6" fillId="0" borderId="0" pivotButton="0" quotePrefix="0" xfId="0"/>
    <xf numFmtId="0" fontId="7" fillId="13" borderId="0" applyAlignment="1" pivotButton="0" quotePrefix="0" xfId="0">
      <alignment horizontal="center" vertical="center" wrapText="1"/>
    </xf>
    <xf numFmtId="0" fontId="2" fillId="1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7" fillId="11" borderId="0" applyAlignment="1" pivotButton="0" quotePrefix="0" xfId="0">
      <alignment horizontal="center" vertical="center" wrapText="1"/>
    </xf>
    <xf numFmtId="0" fontId="5" fillId="14" borderId="1" applyAlignment="1" pivotButton="0" quotePrefix="0" xfId="0">
      <alignment horizontal="left" vertical="center" wrapText="1"/>
    </xf>
    <xf numFmtId="0" fontId="9" fillId="14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9" fillId="7" borderId="1" applyAlignment="1" pivotButton="0" quotePrefix="0" xfId="0">
      <alignment horizontal="center" vertical="center" wrapText="1"/>
    </xf>
    <xf numFmtId="0" fontId="5" fillId="15" borderId="1" applyAlignment="1" pivotButton="0" quotePrefix="0" xfId="0">
      <alignment horizontal="left" vertical="center" wrapText="1"/>
    </xf>
    <xf numFmtId="0" fontId="9" fillId="15" borderId="1" applyAlignment="1" pivotButton="0" quotePrefix="0" xfId="0">
      <alignment horizontal="center" vertical="center" wrapText="1"/>
    </xf>
    <xf numFmtId="0" fontId="5" fillId="16" borderId="1" applyAlignment="1" pivotButton="0" quotePrefix="0" xfId="0">
      <alignment horizontal="left" vertical="center" wrapText="1"/>
    </xf>
    <xf numFmtId="0" fontId="9" fillId="16" borderId="1" applyAlignment="1" pivotButton="0" quotePrefix="0" xfId="0">
      <alignment horizontal="center" vertical="center" wrapText="1"/>
    </xf>
    <xf numFmtId="0" fontId="5" fillId="17" borderId="1" applyAlignment="1" pivotButton="0" quotePrefix="0" xfId="0">
      <alignment horizontal="left" vertical="center" wrapText="1"/>
    </xf>
    <xf numFmtId="0" fontId="9" fillId="17" borderId="1" applyAlignment="1" pivotButton="0" quotePrefix="0" xfId="0">
      <alignment horizontal="center" vertical="center" wrapText="1"/>
    </xf>
    <xf numFmtId="0" fontId="5" fillId="18" borderId="1" applyAlignment="1" pivotButton="0" quotePrefix="0" xfId="0">
      <alignment horizontal="left" vertical="center" wrapText="1"/>
    </xf>
    <xf numFmtId="0" fontId="9" fillId="18" borderId="1" applyAlignment="1" pivotButton="0" quotePrefix="0" xfId="0">
      <alignment horizontal="center" vertical="center" wrapText="1"/>
    </xf>
    <xf numFmtId="0" fontId="7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18" customWidth="1" min="2" max="2"/>
    <col width="28" customWidth="1" min="3" max="3"/>
    <col width="32" customWidth="1" min="4" max="4"/>
    <col width="10" customWidth="1" min="5" max="5"/>
    <col width="12" customWidth="1" min="6" max="6"/>
    <col width="24" customWidth="1" min="7" max="7"/>
    <col width="18" customWidth="1" min="8" max="8"/>
    <col width="18" customWidth="1" min="9" max="9"/>
    <col width="18" customWidth="1" min="10" max="10"/>
    <col width="14" customWidth="1" min="11" max="11"/>
    <col width="26" customWidth="1" min="12" max="12"/>
  </cols>
  <sheetData>
    <row r="1" ht="28" customHeight="1">
      <c r="A1" s="1" t="inlineStr">
        <is>
          <t>Sites &amp; Credentials  –  Fill your Username &amp; Password for each site</t>
        </is>
      </c>
    </row>
    <row r="2" ht="20" customHeight="1">
      <c r="A2" s="2" t="inlineStr">
        <is>
          <t>Site ID</t>
        </is>
      </c>
      <c r="B2" s="2" t="inlineStr">
        <is>
          <t>Site Name</t>
        </is>
      </c>
      <c r="C2" s="2" t="inlineStr">
        <is>
          <t>URL</t>
        </is>
      </c>
      <c r="D2" s="2" t="inlineStr">
        <is>
          <t>Post URL</t>
        </is>
      </c>
      <c r="E2" s="2" t="inlineStr">
        <is>
          <t>Tier</t>
        </is>
      </c>
      <c r="F2" s="2" t="inlineStr">
        <is>
          <t>Free Listing</t>
        </is>
      </c>
      <c r="G2" s="2" t="inlineStr">
        <is>
          <t>Username / Email</t>
        </is>
      </c>
      <c r="H2" s="2" t="inlineStr">
        <is>
          <t>Password</t>
        </is>
      </c>
      <c r="I2" s="2" t="inlineStr">
        <is>
          <t>Phone (if needed)</t>
        </is>
      </c>
      <c r="J2" s="2" t="inlineStr">
        <is>
          <t>API Key (if any)</t>
        </is>
      </c>
      <c r="K2" s="2" t="inlineStr">
        <is>
          <t>Account Status</t>
        </is>
      </c>
      <c r="L2" s="2" t="inlineStr">
        <is>
          <t>Notes</t>
        </is>
      </c>
    </row>
    <row r="3">
      <c r="A3" s="3" t="inlineStr">
        <is>
          <t>magicbricks</t>
        </is>
      </c>
      <c r="B3" s="3" t="inlineStr">
        <is>
          <t>MagicBricks</t>
        </is>
      </c>
      <c r="C3" s="3" t="inlineStr">
        <is>
          <t>https://www.magicbricks.com</t>
        </is>
      </c>
      <c r="D3" s="3" t="inlineStr">
        <is>
          <t>https://www.magicbricks.com/sell/post-property.html</t>
        </is>
      </c>
      <c r="E3" s="3" t="inlineStr">
        <is>
          <t>Tier-1</t>
        </is>
      </c>
      <c r="F3" s="3" t="inlineStr">
        <is>
          <t>Yes</t>
        </is>
      </c>
      <c r="G3" s="3" t="inlineStr"/>
      <c r="H3" s="3" t="inlineStr"/>
      <c r="I3" s="3" t="inlineStr"/>
      <c r="J3" s="3" t="inlineStr"/>
      <c r="K3" s="3" t="inlineStr">
        <is>
          <t>Not Set</t>
        </is>
      </c>
      <c r="L3" s="3" t="inlineStr"/>
    </row>
    <row r="4">
      <c r="A4" s="4" t="inlineStr">
        <is>
          <t>99acres</t>
        </is>
      </c>
      <c r="B4" s="4" t="inlineStr">
        <is>
          <t>99acres</t>
        </is>
      </c>
      <c r="C4" s="4" t="inlineStr">
        <is>
          <t>https://www.99acres.com</t>
        </is>
      </c>
      <c r="D4" s="4" t="inlineStr">
        <is>
          <t>https://www.99acres.com/seller/postProperty.php</t>
        </is>
      </c>
      <c r="E4" s="4" t="inlineStr">
        <is>
          <t>Tier-1</t>
        </is>
      </c>
      <c r="F4" s="4" t="inlineStr">
        <is>
          <t>Yes</t>
        </is>
      </c>
      <c r="G4" s="4" t="inlineStr"/>
      <c r="H4" s="4" t="inlineStr"/>
      <c r="I4" s="4" t="inlineStr"/>
      <c r="J4" s="4" t="inlineStr"/>
      <c r="K4" s="4" t="inlineStr">
        <is>
          <t>Not Set</t>
        </is>
      </c>
      <c r="L4" s="4" t="inlineStr"/>
    </row>
    <row r="5">
      <c r="A5" s="3" t="inlineStr">
        <is>
          <t>housing</t>
        </is>
      </c>
      <c r="B5" s="3" t="inlineStr">
        <is>
          <t>Housing.com</t>
        </is>
      </c>
      <c r="C5" s="3" t="inlineStr">
        <is>
          <t>https://housing.com</t>
        </is>
      </c>
      <c r="D5" s="3" t="inlineStr">
        <is>
          <t>https://housing.com/post-property</t>
        </is>
      </c>
      <c r="E5" s="3" t="inlineStr">
        <is>
          <t>Tier-1</t>
        </is>
      </c>
      <c r="F5" s="3" t="inlineStr">
        <is>
          <t>Yes</t>
        </is>
      </c>
      <c r="G5" s="3" t="inlineStr"/>
      <c r="H5" s="3" t="inlineStr"/>
      <c r="I5" s="3" t="inlineStr"/>
      <c r="J5" s="3" t="inlineStr"/>
      <c r="K5" s="3" t="inlineStr">
        <is>
          <t>Not Set</t>
        </is>
      </c>
      <c r="L5" s="3" t="inlineStr"/>
    </row>
    <row r="6">
      <c r="A6" s="4" t="inlineStr">
        <is>
          <t>nobroker</t>
        </is>
      </c>
      <c r="B6" s="4" t="inlineStr">
        <is>
          <t>NoBroker</t>
        </is>
      </c>
      <c r="C6" s="4" t="inlineStr">
        <is>
          <t>https://www.nobroker.in</t>
        </is>
      </c>
      <c r="D6" s="4" t="inlineStr">
        <is>
          <t>https://www.nobroker.in/post-your-property</t>
        </is>
      </c>
      <c r="E6" s="4" t="inlineStr">
        <is>
          <t>Tier-1</t>
        </is>
      </c>
      <c r="F6" s="4" t="inlineStr">
        <is>
          <t>Yes</t>
        </is>
      </c>
      <c r="G6" s="4" t="inlineStr"/>
      <c r="H6" s="4" t="inlineStr"/>
      <c r="I6" s="4" t="inlineStr"/>
      <c r="J6" s="4" t="inlineStr"/>
      <c r="K6" s="4" t="inlineStr">
        <is>
          <t>Not Set</t>
        </is>
      </c>
      <c r="L6" s="4" t="inlineStr"/>
    </row>
    <row r="7">
      <c r="A7" s="3" t="inlineStr">
        <is>
          <t>olx</t>
        </is>
      </c>
      <c r="B7" s="3" t="inlineStr">
        <is>
          <t>OLX</t>
        </is>
      </c>
      <c r="C7" s="3" t="inlineStr">
        <is>
          <t>https://www.olx.in</t>
        </is>
      </c>
      <c r="D7" s="3" t="inlineStr">
        <is>
          <t>https://www.olx.in/post-ad</t>
        </is>
      </c>
      <c r="E7" s="3" t="inlineStr">
        <is>
          <t>Tier-1</t>
        </is>
      </c>
      <c r="F7" s="3" t="inlineStr">
        <is>
          <t>Yes</t>
        </is>
      </c>
      <c r="G7" s="3" t="inlineStr"/>
      <c r="H7" s="3" t="inlineStr"/>
      <c r="I7" s="3" t="inlineStr"/>
      <c r="J7" s="3" t="inlineStr"/>
      <c r="K7" s="3" t="inlineStr">
        <is>
          <t>Not Set</t>
        </is>
      </c>
      <c r="L7" s="3" t="inlineStr"/>
    </row>
    <row r="8">
      <c r="A8" s="4" t="inlineStr">
        <is>
          <t>quikr</t>
        </is>
      </c>
      <c r="B8" s="4" t="inlineStr">
        <is>
          <t>Quikr</t>
        </is>
      </c>
      <c r="C8" s="4" t="inlineStr">
        <is>
          <t>https://www.quikr.com</t>
        </is>
      </c>
      <c r="D8" s="4" t="inlineStr">
        <is>
          <t>https://www.quikr.com/post-ads</t>
        </is>
      </c>
      <c r="E8" s="4" t="inlineStr">
        <is>
          <t>Tier-2</t>
        </is>
      </c>
      <c r="F8" s="4" t="inlineStr">
        <is>
          <t>Yes</t>
        </is>
      </c>
      <c r="G8" s="4" t="inlineStr"/>
      <c r="H8" s="4" t="inlineStr"/>
      <c r="I8" s="4" t="inlineStr"/>
      <c r="J8" s="4" t="inlineStr"/>
      <c r="K8" s="4" t="inlineStr">
        <is>
          <t>Not Set</t>
        </is>
      </c>
      <c r="L8" s="4" t="inlineStr"/>
    </row>
    <row r="9">
      <c r="A9" s="3" t="inlineStr">
        <is>
          <t>commonfloor</t>
        </is>
      </c>
      <c r="B9" s="3" t="inlineStr">
        <is>
          <t>CommonFloor</t>
        </is>
      </c>
      <c r="C9" s="3" t="inlineStr">
        <is>
          <t>https://www.commonfloor.com</t>
        </is>
      </c>
      <c r="D9" s="3" t="inlineStr">
        <is>
          <t>https://www.commonfloor.com/post-property</t>
        </is>
      </c>
      <c r="E9" s="3" t="inlineStr">
        <is>
          <t>Tier-2</t>
        </is>
      </c>
      <c r="F9" s="3" t="inlineStr">
        <is>
          <t>Yes</t>
        </is>
      </c>
      <c r="G9" s="3" t="inlineStr"/>
      <c r="H9" s="3" t="inlineStr"/>
      <c r="I9" s="3" t="inlineStr"/>
      <c r="J9" s="3" t="inlineStr"/>
      <c r="K9" s="3" t="inlineStr">
        <is>
          <t>Not Set</t>
        </is>
      </c>
      <c r="L9" s="3" t="inlineStr"/>
    </row>
    <row r="10">
      <c r="A10" s="4" t="inlineStr">
        <is>
          <t>sulekha</t>
        </is>
      </c>
      <c r="B10" s="4" t="inlineStr">
        <is>
          <t>Sulekha</t>
        </is>
      </c>
      <c r="C10" s="4" t="inlineStr">
        <is>
          <t>https://www.sulekha.com</t>
        </is>
      </c>
      <c r="D10" s="4" t="inlineStr">
        <is>
          <t>https://realestate.sulekha.com/sell-property</t>
        </is>
      </c>
      <c r="E10" s="4" t="inlineStr">
        <is>
          <t>Tier-2</t>
        </is>
      </c>
      <c r="F10" s="4" t="inlineStr">
        <is>
          <t>Yes</t>
        </is>
      </c>
      <c r="G10" s="4" t="inlineStr"/>
      <c r="H10" s="4" t="inlineStr"/>
      <c r="I10" s="4" t="inlineStr"/>
      <c r="J10" s="4" t="inlineStr"/>
      <c r="K10" s="4" t="inlineStr">
        <is>
          <t>Not Set</t>
        </is>
      </c>
      <c r="L10" s="4" t="inlineStr"/>
    </row>
    <row r="11">
      <c r="A11" s="3" t="inlineStr">
        <is>
          <t>proptiger</t>
        </is>
      </c>
      <c r="B11" s="3" t="inlineStr">
        <is>
          <t>PropTiger</t>
        </is>
      </c>
      <c r="C11" s="3" t="inlineStr">
        <is>
          <t>https://www.proptiger.com</t>
        </is>
      </c>
      <c r="D11" s="3" t="inlineStr">
        <is>
          <t>https://www.proptiger.com/post-property</t>
        </is>
      </c>
      <c r="E11" s="3" t="inlineStr">
        <is>
          <t>Tier-2</t>
        </is>
      </c>
      <c r="F11" s="3" t="inlineStr">
        <is>
          <t>Yes</t>
        </is>
      </c>
      <c r="G11" s="3" t="inlineStr"/>
      <c r="H11" s="3" t="inlineStr"/>
      <c r="I11" s="3" t="inlineStr"/>
      <c r="J11" s="3" t="inlineStr"/>
      <c r="K11" s="3" t="inlineStr">
        <is>
          <t>Not Set</t>
        </is>
      </c>
      <c r="L11" s="3" t="inlineStr"/>
    </row>
    <row r="12">
      <c r="A12" s="4" t="inlineStr">
        <is>
          <t>makaan</t>
        </is>
      </c>
      <c r="B12" s="4" t="inlineStr">
        <is>
          <t>Makaan.com</t>
        </is>
      </c>
      <c r="C12" s="4" t="inlineStr">
        <is>
          <t>https://www.makaan.com</t>
        </is>
      </c>
      <c r="D12" s="4" t="inlineStr">
        <is>
          <t>https://www.makaan.com/post-property</t>
        </is>
      </c>
      <c r="E12" s="4" t="inlineStr">
        <is>
          <t>Tier-2</t>
        </is>
      </c>
      <c r="F12" s="4" t="inlineStr">
        <is>
          <t>Yes</t>
        </is>
      </c>
      <c r="G12" s="4" t="inlineStr"/>
      <c r="H12" s="4" t="inlineStr"/>
      <c r="I12" s="4" t="inlineStr"/>
      <c r="J12" s="4" t="inlineStr"/>
      <c r="K12" s="4" t="inlineStr">
        <is>
          <t>Not Set</t>
        </is>
      </c>
      <c r="L12" s="4" t="inlineStr"/>
    </row>
    <row r="13">
      <c r="A13" s="3" t="inlineStr">
        <is>
          <t>squareyards</t>
        </is>
      </c>
      <c r="B13" s="3" t="inlineStr">
        <is>
          <t>Square Yards</t>
        </is>
      </c>
      <c r="C13" s="3" t="inlineStr">
        <is>
          <t>https://www.squareyards.com</t>
        </is>
      </c>
      <c r="D13" s="3" t="inlineStr">
        <is>
          <t>https://www.squareyards.com/sell</t>
        </is>
      </c>
      <c r="E13" s="3" t="inlineStr">
        <is>
          <t>Tier-2</t>
        </is>
      </c>
      <c r="F13" s="3" t="inlineStr">
        <is>
          <t>Yes</t>
        </is>
      </c>
      <c r="G13" s="3" t="inlineStr"/>
      <c r="H13" s="3" t="inlineStr"/>
      <c r="I13" s="3" t="inlineStr"/>
      <c r="J13" s="3" t="inlineStr"/>
      <c r="K13" s="3" t="inlineStr">
        <is>
          <t>Not Set</t>
        </is>
      </c>
      <c r="L13" s="3" t="inlineStr"/>
    </row>
    <row r="14">
      <c r="A14" s="4" t="inlineStr">
        <is>
          <t>indiaproperty</t>
        </is>
      </c>
      <c r="B14" s="4" t="inlineStr">
        <is>
          <t>India Property</t>
        </is>
      </c>
      <c r="C14" s="4" t="inlineStr">
        <is>
          <t>https://www.indiaproperty.com</t>
        </is>
      </c>
      <c r="D14" s="4" t="inlineStr">
        <is>
          <t>https://www.indiaproperty.com/property/post</t>
        </is>
      </c>
      <c r="E14" s="4" t="inlineStr">
        <is>
          <t>Tier-3</t>
        </is>
      </c>
      <c r="F14" s="4" t="inlineStr">
        <is>
          <t>Yes</t>
        </is>
      </c>
      <c r="G14" s="4" t="inlineStr"/>
      <c r="H14" s="4" t="inlineStr"/>
      <c r="I14" s="4" t="inlineStr"/>
      <c r="J14" s="4" t="inlineStr"/>
      <c r="K14" s="4" t="inlineStr">
        <is>
          <t>Not Set</t>
        </is>
      </c>
      <c r="L14" s="4" t="inlineStr"/>
    </row>
    <row r="15">
      <c r="A15" s="3" t="inlineStr">
        <is>
          <t>nestoria</t>
        </is>
      </c>
      <c r="B15" s="3" t="inlineStr">
        <is>
          <t>Nestoria India</t>
        </is>
      </c>
      <c r="C15" s="3" t="inlineStr">
        <is>
          <t>https://www.nestoria.in</t>
        </is>
      </c>
      <c r="D15" s="3" t="inlineStr">
        <is>
          <t>https://www.nestoria.in/post</t>
        </is>
      </c>
      <c r="E15" s="3" t="inlineStr">
        <is>
          <t>Tier-3</t>
        </is>
      </c>
      <c r="F15" s="3" t="inlineStr">
        <is>
          <t>Yes</t>
        </is>
      </c>
      <c r="G15" s="3" t="inlineStr"/>
      <c r="H15" s="3" t="inlineStr"/>
      <c r="I15" s="3" t="inlineStr"/>
      <c r="J15" s="3" t="inlineStr"/>
      <c r="K15" s="3" t="inlineStr">
        <is>
          <t>Not Set</t>
        </is>
      </c>
      <c r="L15" s="3" t="inlineStr"/>
    </row>
    <row r="16">
      <c r="A16" s="4" t="inlineStr">
        <is>
          <t>propertywala</t>
        </is>
      </c>
      <c r="B16" s="4" t="inlineStr">
        <is>
          <t>PropertyWala</t>
        </is>
      </c>
      <c r="C16" s="4" t="inlineStr">
        <is>
          <t>https://www.propertywala.com</t>
        </is>
      </c>
      <c r="D16" s="4" t="inlineStr">
        <is>
          <t>https://www.propertywala.com/free-property-ads</t>
        </is>
      </c>
      <c r="E16" s="4" t="inlineStr">
        <is>
          <t>Tier-3</t>
        </is>
      </c>
      <c r="F16" s="4" t="inlineStr">
        <is>
          <t>Yes</t>
        </is>
      </c>
      <c r="G16" s="4" t="inlineStr"/>
      <c r="H16" s="4" t="inlineStr"/>
      <c r="I16" s="4" t="inlineStr"/>
      <c r="J16" s="4" t="inlineStr"/>
      <c r="K16" s="4" t="inlineStr">
        <is>
          <t>Not Set</t>
        </is>
      </c>
      <c r="L16" s="4" t="inlineStr"/>
    </row>
    <row r="17">
      <c r="A17" s="3" t="inlineStr">
        <is>
          <t>homeonline</t>
        </is>
      </c>
      <c r="B17" s="3" t="inlineStr">
        <is>
          <t>HomeOnline</t>
        </is>
      </c>
      <c r="C17" s="3" t="inlineStr">
        <is>
          <t>https://www.homeonline.com</t>
        </is>
      </c>
      <c r="D17" s="3" t="inlineStr">
        <is>
          <t>https://www.homeonline.com/post-property</t>
        </is>
      </c>
      <c r="E17" s="3" t="inlineStr">
        <is>
          <t>Tier-3</t>
        </is>
      </c>
      <c r="F17" s="3" t="inlineStr">
        <is>
          <t>Yes</t>
        </is>
      </c>
      <c r="G17" s="3" t="inlineStr"/>
      <c r="H17" s="3" t="inlineStr"/>
      <c r="I17" s="3" t="inlineStr"/>
      <c r="J17" s="3" t="inlineStr"/>
      <c r="K17" s="3" t="inlineStr">
        <is>
          <t>Not Set</t>
        </is>
      </c>
      <c r="L17" s="3" t="inlineStr"/>
    </row>
    <row r="18">
      <c r="A18" s="4" t="inlineStr">
        <is>
          <t>facebook</t>
        </is>
      </c>
      <c r="B18" s="4" t="inlineStr">
        <is>
          <t>Facebook Marketplace</t>
        </is>
      </c>
      <c r="C18" s="4" t="inlineStr">
        <is>
          <t>https://www.facebook.com/marketplace</t>
        </is>
      </c>
      <c r="D18" s="4" t="inlineStr">
        <is>
          <t>https://www.facebook.com/marketplace/create/property-for-sale</t>
        </is>
      </c>
      <c r="E18" s="4" t="inlineStr">
        <is>
          <t>Social</t>
        </is>
      </c>
      <c r="F18" s="4" t="inlineStr">
        <is>
          <t>Yes</t>
        </is>
      </c>
      <c r="G18" s="4" t="inlineStr"/>
      <c r="H18" s="4" t="inlineStr"/>
      <c r="I18" s="4" t="inlineStr"/>
      <c r="J18" s="4" t="inlineStr"/>
      <c r="K18" s="4" t="inlineStr">
        <is>
          <t>Not Set</t>
        </is>
      </c>
      <c r="L18" s="4" t="inlineStr"/>
    </row>
    <row r="19">
      <c r="A19" s="3" t="inlineStr">
        <is>
          <t>instagram</t>
        </is>
      </c>
      <c r="B19" s="3" t="inlineStr">
        <is>
          <t>Instagram (Manual)</t>
        </is>
      </c>
      <c r="C19" s="3" t="inlineStr">
        <is>
          <t>https://www.instagram.com</t>
        </is>
      </c>
      <c r="D19" s="3" t="inlineStr">
        <is>
          <t>https://www.instagram.com</t>
        </is>
      </c>
      <c r="E19" s="3" t="inlineStr">
        <is>
          <t>Social</t>
        </is>
      </c>
      <c r="F19" s="3" t="inlineStr">
        <is>
          <t>Yes</t>
        </is>
      </c>
      <c r="G19" s="3" t="inlineStr"/>
      <c r="H19" s="3" t="inlineStr"/>
      <c r="I19" s="3" t="inlineStr"/>
      <c r="J19" s="3" t="inlineStr"/>
      <c r="K19" s="3" t="inlineStr">
        <is>
          <t>Not Set</t>
        </is>
      </c>
      <c r="L19" s="3" t="inlineStr"/>
    </row>
    <row r="20">
      <c r="A20" s="4" t="inlineStr">
        <is>
          <t>jll</t>
        </is>
      </c>
      <c r="B20" s="4" t="inlineStr">
        <is>
          <t>JLL India</t>
        </is>
      </c>
      <c r="C20" s="4" t="inlineStr">
        <is>
          <t>https://www.jll.co.in</t>
        </is>
      </c>
      <c r="D20" s="4" t="inlineStr">
        <is>
          <t>https://www.jll.co.in/en/sell-a-property</t>
        </is>
      </c>
      <c r="E20" s="4" t="inlineStr">
        <is>
          <t>Premium</t>
        </is>
      </c>
      <c r="F20" s="4" t="inlineStr">
        <is>
          <t>No</t>
        </is>
      </c>
      <c r="G20" s="4" t="inlineStr"/>
      <c r="H20" s="4" t="inlineStr"/>
      <c r="I20" s="4" t="inlineStr"/>
      <c r="J20" s="4" t="inlineStr"/>
      <c r="K20" s="4" t="inlineStr">
        <is>
          <t>Not Set</t>
        </is>
      </c>
      <c r="L20" s="4" t="inlineStr"/>
    </row>
    <row r="21">
      <c r="A21" s="3" t="inlineStr">
        <is>
          <t>anarock</t>
        </is>
      </c>
      <c r="B21" s="3" t="inlineStr">
        <is>
          <t>Anarock</t>
        </is>
      </c>
      <c r="C21" s="3" t="inlineStr">
        <is>
          <t>https://www.anarock.com</t>
        </is>
      </c>
      <c r="D21" s="3" t="inlineStr">
        <is>
          <t>https://www.anarock.com/sell</t>
        </is>
      </c>
      <c r="E21" s="3" t="inlineStr">
        <is>
          <t>Premium</t>
        </is>
      </c>
      <c r="F21" s="3" t="inlineStr">
        <is>
          <t>No</t>
        </is>
      </c>
      <c r="G21" s="3" t="inlineStr"/>
      <c r="H21" s="3" t="inlineStr"/>
      <c r="I21" s="3" t="inlineStr"/>
      <c r="J21" s="3" t="inlineStr"/>
      <c r="K21" s="3" t="inlineStr">
        <is>
          <t>Not Set</t>
        </is>
      </c>
      <c r="L21" s="3" t="inlineStr"/>
    </row>
  </sheetData>
  <mergeCells count="1"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18" customWidth="1" min="2" max="2"/>
    <col width="14" customWidth="1" min="3" max="3"/>
    <col width="36" customWidth="1" min="4" max="4"/>
    <col width="36" customWidth="1" min="5" max="5"/>
    <col width="14" customWidth="1" min="6" max="6"/>
    <col width="8" customWidth="1" min="7" max="7"/>
    <col width="8" customWidth="1" min="8" max="8"/>
    <col width="10" customWidth="1" min="9" max="9"/>
    <col width="16" customWidth="1" min="10" max="10"/>
    <col width="14" customWidth="1" min="11" max="11"/>
    <col width="14" customWidth="1" min="12" max="12"/>
    <col width="30" customWidth="1" min="13" max="13"/>
  </cols>
  <sheetData>
    <row r="1" ht="28" customHeight="1">
      <c r="A1" s="5" t="inlineStr">
        <is>
          <t>Ad Status Tracker  –  3BHK Flat - Banjara Hills</t>
        </is>
      </c>
    </row>
    <row r="2" ht="20" customHeight="1">
      <c r="A2" s="6" t="inlineStr">
        <is>
          <t>Site ID</t>
        </is>
      </c>
      <c r="B2" s="6" t="inlineStr">
        <is>
          <t>Site Name</t>
        </is>
      </c>
      <c r="C2" s="6" t="inlineStr">
        <is>
          <t>Ad Posted Date</t>
        </is>
      </c>
      <c r="D2" s="6" t="inlineStr">
        <is>
          <t>Ad URL</t>
        </is>
      </c>
      <c r="E2" s="6" t="inlineStr">
        <is>
          <t>Ad Title</t>
        </is>
      </c>
      <c r="F2" s="6" t="inlineStr">
        <is>
          <t>Status</t>
        </is>
      </c>
      <c r="G2" s="6" t="inlineStr">
        <is>
          <t>Views</t>
        </is>
      </c>
      <c r="H2" s="6" t="inlineStr">
        <is>
          <t>Clicks</t>
        </is>
      </c>
      <c r="I2" s="6" t="inlineStr">
        <is>
          <t>Inquiries</t>
        </is>
      </c>
      <c r="J2" s="6" t="inlineStr">
        <is>
          <t>Last Updated</t>
        </is>
      </c>
      <c r="K2" s="6" t="inlineStr">
        <is>
          <t>Ad Expiry Date</t>
        </is>
      </c>
      <c r="L2" s="6" t="inlineStr">
        <is>
          <t>Renewal Needed</t>
        </is>
      </c>
      <c r="M2" s="6" t="inlineStr">
        <is>
          <t>Notes</t>
        </is>
      </c>
    </row>
    <row r="3">
      <c r="A3" s="7" t="inlineStr">
        <is>
          <t>magicbricks</t>
        </is>
      </c>
      <c r="B3" s="7" t="inlineStr">
        <is>
          <t>MagicBricks</t>
        </is>
      </c>
      <c r="C3" s="7" t="inlineStr"/>
      <c r="D3" s="7" t="inlineStr"/>
      <c r="E3" s="7" t="inlineStr"/>
      <c r="F3" s="7" t="inlineStr">
        <is>
          <t>Pending</t>
        </is>
      </c>
      <c r="G3" s="7" t="n">
        <v>0</v>
      </c>
      <c r="H3" s="7" t="n">
        <v>0</v>
      </c>
      <c r="I3" s="7" t="n">
        <v>0</v>
      </c>
      <c r="J3" s="7" t="inlineStr"/>
      <c r="K3" s="7" t="inlineStr"/>
      <c r="L3" s="7" t="inlineStr"/>
      <c r="M3" s="7" t="inlineStr"/>
    </row>
    <row r="4">
      <c r="A4" s="7" t="inlineStr">
        <is>
          <t>99acres</t>
        </is>
      </c>
      <c r="B4" s="7" t="inlineStr">
        <is>
          <t>99acres</t>
        </is>
      </c>
      <c r="C4" s="7" t="inlineStr"/>
      <c r="D4" s="7" t="inlineStr"/>
      <c r="E4" s="7" t="inlineStr"/>
      <c r="F4" s="7" t="inlineStr">
        <is>
          <t>Pending</t>
        </is>
      </c>
      <c r="G4" s="7" t="n">
        <v>0</v>
      </c>
      <c r="H4" s="7" t="n">
        <v>0</v>
      </c>
      <c r="I4" s="7" t="n">
        <v>0</v>
      </c>
      <c r="J4" s="7" t="inlineStr"/>
      <c r="K4" s="7" t="inlineStr"/>
      <c r="L4" s="7" t="inlineStr"/>
      <c r="M4" s="7" t="inlineStr"/>
    </row>
    <row r="5">
      <c r="A5" s="7" t="inlineStr">
        <is>
          <t>housing</t>
        </is>
      </c>
      <c r="B5" s="7" t="inlineStr">
        <is>
          <t>Housing.com</t>
        </is>
      </c>
      <c r="C5" s="7" t="inlineStr"/>
      <c r="D5" s="7" t="inlineStr"/>
      <c r="E5" s="7" t="inlineStr"/>
      <c r="F5" s="7" t="inlineStr">
        <is>
          <t>Pending</t>
        </is>
      </c>
      <c r="G5" s="7" t="n">
        <v>0</v>
      </c>
      <c r="H5" s="7" t="n">
        <v>0</v>
      </c>
      <c r="I5" s="7" t="n">
        <v>0</v>
      </c>
      <c r="J5" s="7" t="inlineStr"/>
      <c r="K5" s="7" t="inlineStr"/>
      <c r="L5" s="7" t="inlineStr"/>
      <c r="M5" s="7" t="inlineStr"/>
    </row>
    <row r="6">
      <c r="A6" s="7" t="inlineStr">
        <is>
          <t>nobroker</t>
        </is>
      </c>
      <c r="B6" s="7" t="inlineStr">
        <is>
          <t>NoBroker</t>
        </is>
      </c>
      <c r="C6" s="7" t="inlineStr"/>
      <c r="D6" s="7" t="inlineStr"/>
      <c r="E6" s="7" t="inlineStr"/>
      <c r="F6" s="7" t="inlineStr">
        <is>
          <t>Pending</t>
        </is>
      </c>
      <c r="G6" s="7" t="n">
        <v>0</v>
      </c>
      <c r="H6" s="7" t="n">
        <v>0</v>
      </c>
      <c r="I6" s="7" t="n">
        <v>0</v>
      </c>
      <c r="J6" s="7" t="inlineStr"/>
      <c r="K6" s="7" t="inlineStr"/>
      <c r="L6" s="7" t="inlineStr"/>
      <c r="M6" s="7" t="inlineStr"/>
    </row>
    <row r="7">
      <c r="A7" s="7" t="inlineStr">
        <is>
          <t>olx</t>
        </is>
      </c>
      <c r="B7" s="7" t="inlineStr">
        <is>
          <t>OLX</t>
        </is>
      </c>
      <c r="C7" s="7" t="inlineStr"/>
      <c r="D7" s="7" t="inlineStr"/>
      <c r="E7" s="7" t="inlineStr"/>
      <c r="F7" s="7" t="inlineStr">
        <is>
          <t>Pending</t>
        </is>
      </c>
      <c r="G7" s="7" t="n">
        <v>0</v>
      </c>
      <c r="H7" s="7" t="n">
        <v>0</v>
      </c>
      <c r="I7" s="7" t="n">
        <v>0</v>
      </c>
      <c r="J7" s="7" t="inlineStr"/>
      <c r="K7" s="7" t="inlineStr"/>
      <c r="L7" s="7" t="inlineStr"/>
      <c r="M7" s="7" t="inlineStr"/>
    </row>
    <row r="8">
      <c r="A8" s="7" t="inlineStr">
        <is>
          <t>quikr</t>
        </is>
      </c>
      <c r="B8" s="7" t="inlineStr">
        <is>
          <t>Quikr</t>
        </is>
      </c>
      <c r="C8" s="7" t="inlineStr"/>
      <c r="D8" s="7" t="inlineStr"/>
      <c r="E8" s="7" t="inlineStr"/>
      <c r="F8" s="7" t="inlineStr">
        <is>
          <t>Pending</t>
        </is>
      </c>
      <c r="G8" s="7" t="n">
        <v>0</v>
      </c>
      <c r="H8" s="7" t="n">
        <v>0</v>
      </c>
      <c r="I8" s="7" t="n">
        <v>0</v>
      </c>
      <c r="J8" s="7" t="inlineStr"/>
      <c r="K8" s="7" t="inlineStr"/>
      <c r="L8" s="7" t="inlineStr"/>
      <c r="M8" s="7" t="inlineStr"/>
    </row>
    <row r="9">
      <c r="A9" s="7" t="inlineStr">
        <is>
          <t>commonfloor</t>
        </is>
      </c>
      <c r="B9" s="7" t="inlineStr">
        <is>
          <t>CommonFloor</t>
        </is>
      </c>
      <c r="C9" s="7" t="inlineStr"/>
      <c r="D9" s="7" t="inlineStr"/>
      <c r="E9" s="7" t="inlineStr"/>
      <c r="F9" s="7" t="inlineStr">
        <is>
          <t>Pending</t>
        </is>
      </c>
      <c r="G9" s="7" t="n">
        <v>0</v>
      </c>
      <c r="H9" s="7" t="n">
        <v>0</v>
      </c>
      <c r="I9" s="7" t="n">
        <v>0</v>
      </c>
      <c r="J9" s="7" t="inlineStr"/>
      <c r="K9" s="7" t="inlineStr"/>
      <c r="L9" s="7" t="inlineStr"/>
      <c r="M9" s="7" t="inlineStr"/>
    </row>
    <row r="10">
      <c r="A10" s="7" t="inlineStr">
        <is>
          <t>sulekha</t>
        </is>
      </c>
      <c r="B10" s="7" t="inlineStr">
        <is>
          <t>Sulekha</t>
        </is>
      </c>
      <c r="C10" s="7" t="inlineStr"/>
      <c r="D10" s="7" t="inlineStr"/>
      <c r="E10" s="7" t="inlineStr"/>
      <c r="F10" s="7" t="inlineStr">
        <is>
          <t>Pending</t>
        </is>
      </c>
      <c r="G10" s="7" t="n">
        <v>0</v>
      </c>
      <c r="H10" s="7" t="n">
        <v>0</v>
      </c>
      <c r="I10" s="7" t="n">
        <v>0</v>
      </c>
      <c r="J10" s="7" t="inlineStr"/>
      <c r="K10" s="7" t="inlineStr"/>
      <c r="L10" s="7" t="inlineStr"/>
      <c r="M10" s="7" t="inlineStr"/>
    </row>
    <row r="11">
      <c r="A11" s="7" t="inlineStr">
        <is>
          <t>proptiger</t>
        </is>
      </c>
      <c r="B11" s="7" t="inlineStr">
        <is>
          <t>PropTiger</t>
        </is>
      </c>
      <c r="C11" s="7" t="inlineStr"/>
      <c r="D11" s="7" t="inlineStr"/>
      <c r="E11" s="7" t="inlineStr"/>
      <c r="F11" s="7" t="inlineStr">
        <is>
          <t>Pending</t>
        </is>
      </c>
      <c r="G11" s="7" t="n">
        <v>0</v>
      </c>
      <c r="H11" s="7" t="n">
        <v>0</v>
      </c>
      <c r="I11" s="7" t="n">
        <v>0</v>
      </c>
      <c r="J11" s="7" t="inlineStr"/>
      <c r="K11" s="7" t="inlineStr"/>
      <c r="L11" s="7" t="inlineStr"/>
      <c r="M11" s="7" t="inlineStr"/>
    </row>
    <row r="12">
      <c r="A12" s="7" t="inlineStr">
        <is>
          <t>makaan</t>
        </is>
      </c>
      <c r="B12" s="7" t="inlineStr">
        <is>
          <t>Makaan.com</t>
        </is>
      </c>
      <c r="C12" s="7" t="inlineStr"/>
      <c r="D12" s="7" t="inlineStr"/>
      <c r="E12" s="7" t="inlineStr"/>
      <c r="F12" s="7" t="inlineStr">
        <is>
          <t>Pending</t>
        </is>
      </c>
      <c r="G12" s="7" t="n">
        <v>0</v>
      </c>
      <c r="H12" s="7" t="n">
        <v>0</v>
      </c>
      <c r="I12" s="7" t="n">
        <v>0</v>
      </c>
      <c r="J12" s="7" t="inlineStr"/>
      <c r="K12" s="7" t="inlineStr"/>
      <c r="L12" s="7" t="inlineStr"/>
      <c r="M12" s="7" t="inlineStr"/>
    </row>
    <row r="13">
      <c r="A13" s="7" t="inlineStr">
        <is>
          <t>squareyards</t>
        </is>
      </c>
      <c r="B13" s="7" t="inlineStr">
        <is>
          <t>Square Yards</t>
        </is>
      </c>
      <c r="C13" s="7" t="inlineStr"/>
      <c r="D13" s="7" t="inlineStr"/>
      <c r="E13" s="7" t="inlineStr"/>
      <c r="F13" s="7" t="inlineStr">
        <is>
          <t>Pending</t>
        </is>
      </c>
      <c r="G13" s="7" t="n">
        <v>0</v>
      </c>
      <c r="H13" s="7" t="n">
        <v>0</v>
      </c>
      <c r="I13" s="7" t="n">
        <v>0</v>
      </c>
      <c r="J13" s="7" t="inlineStr"/>
      <c r="K13" s="7" t="inlineStr"/>
      <c r="L13" s="7" t="inlineStr"/>
      <c r="M13" s="7" t="inlineStr"/>
    </row>
    <row r="14">
      <c r="A14" s="7" t="inlineStr">
        <is>
          <t>indiaproperty</t>
        </is>
      </c>
      <c r="B14" s="7" t="inlineStr">
        <is>
          <t>India Property</t>
        </is>
      </c>
      <c r="C14" s="7" t="inlineStr"/>
      <c r="D14" s="7" t="inlineStr"/>
      <c r="E14" s="7" t="inlineStr"/>
      <c r="F14" s="7" t="inlineStr">
        <is>
          <t>Pending</t>
        </is>
      </c>
      <c r="G14" s="7" t="n">
        <v>0</v>
      </c>
      <c r="H14" s="7" t="n">
        <v>0</v>
      </c>
      <c r="I14" s="7" t="n">
        <v>0</v>
      </c>
      <c r="J14" s="7" t="inlineStr"/>
      <c r="K14" s="7" t="inlineStr"/>
      <c r="L14" s="7" t="inlineStr"/>
      <c r="M14" s="7" t="inlineStr"/>
    </row>
    <row r="15">
      <c r="A15" s="7" t="inlineStr">
        <is>
          <t>nestoria</t>
        </is>
      </c>
      <c r="B15" s="7" t="inlineStr">
        <is>
          <t>Nestoria India</t>
        </is>
      </c>
      <c r="C15" s="7" t="inlineStr"/>
      <c r="D15" s="7" t="inlineStr"/>
      <c r="E15" s="7" t="inlineStr"/>
      <c r="F15" s="7" t="inlineStr">
        <is>
          <t>Pending</t>
        </is>
      </c>
      <c r="G15" s="7" t="n">
        <v>0</v>
      </c>
      <c r="H15" s="7" t="n">
        <v>0</v>
      </c>
      <c r="I15" s="7" t="n">
        <v>0</v>
      </c>
      <c r="J15" s="7" t="inlineStr"/>
      <c r="K15" s="7" t="inlineStr"/>
      <c r="L15" s="7" t="inlineStr"/>
      <c r="M15" s="7" t="inlineStr"/>
    </row>
    <row r="16">
      <c r="A16" s="7" t="inlineStr">
        <is>
          <t>propertywala</t>
        </is>
      </c>
      <c r="B16" s="7" t="inlineStr">
        <is>
          <t>PropertyWala</t>
        </is>
      </c>
      <c r="C16" s="7" t="inlineStr"/>
      <c r="D16" s="7" t="inlineStr"/>
      <c r="E16" s="7" t="inlineStr"/>
      <c r="F16" s="7" t="inlineStr">
        <is>
          <t>Pending</t>
        </is>
      </c>
      <c r="G16" s="7" t="n">
        <v>0</v>
      </c>
      <c r="H16" s="7" t="n">
        <v>0</v>
      </c>
      <c r="I16" s="7" t="n">
        <v>0</v>
      </c>
      <c r="J16" s="7" t="inlineStr"/>
      <c r="K16" s="7" t="inlineStr"/>
      <c r="L16" s="7" t="inlineStr"/>
      <c r="M16" s="7" t="inlineStr"/>
    </row>
    <row r="17">
      <c r="A17" s="7" t="inlineStr">
        <is>
          <t>homeonline</t>
        </is>
      </c>
      <c r="B17" s="7" t="inlineStr">
        <is>
          <t>HomeOnline</t>
        </is>
      </c>
      <c r="C17" s="7" t="inlineStr"/>
      <c r="D17" s="7" t="inlineStr"/>
      <c r="E17" s="7" t="inlineStr"/>
      <c r="F17" s="7" t="inlineStr">
        <is>
          <t>Pending</t>
        </is>
      </c>
      <c r="G17" s="7" t="n">
        <v>0</v>
      </c>
      <c r="H17" s="7" t="n">
        <v>0</v>
      </c>
      <c r="I17" s="7" t="n">
        <v>0</v>
      </c>
      <c r="J17" s="7" t="inlineStr"/>
      <c r="K17" s="7" t="inlineStr"/>
      <c r="L17" s="7" t="inlineStr"/>
      <c r="M17" s="7" t="inlineStr"/>
    </row>
    <row r="18">
      <c r="A18" s="7" t="inlineStr">
        <is>
          <t>facebook</t>
        </is>
      </c>
      <c r="B18" s="7" t="inlineStr">
        <is>
          <t>Facebook Marketplace</t>
        </is>
      </c>
      <c r="C18" s="7" t="inlineStr"/>
      <c r="D18" s="7" t="inlineStr"/>
      <c r="E18" s="7" t="inlineStr"/>
      <c r="F18" s="7" t="inlineStr">
        <is>
          <t>Pending</t>
        </is>
      </c>
      <c r="G18" s="7" t="n">
        <v>0</v>
      </c>
      <c r="H18" s="7" t="n">
        <v>0</v>
      </c>
      <c r="I18" s="7" t="n">
        <v>0</v>
      </c>
      <c r="J18" s="7" t="inlineStr"/>
      <c r="K18" s="7" t="inlineStr"/>
      <c r="L18" s="7" t="inlineStr"/>
      <c r="M18" s="7" t="inlineStr"/>
    </row>
    <row r="19">
      <c r="A19" s="7" t="inlineStr">
        <is>
          <t>instagram</t>
        </is>
      </c>
      <c r="B19" s="7" t="inlineStr">
        <is>
          <t>Instagram (Manual)</t>
        </is>
      </c>
      <c r="C19" s="7" t="inlineStr"/>
      <c r="D19" s="7" t="inlineStr"/>
      <c r="E19" s="7" t="inlineStr"/>
      <c r="F19" s="7" t="inlineStr">
        <is>
          <t>Pending</t>
        </is>
      </c>
      <c r="G19" s="7" t="n">
        <v>0</v>
      </c>
      <c r="H19" s="7" t="n">
        <v>0</v>
      </c>
      <c r="I19" s="7" t="n">
        <v>0</v>
      </c>
      <c r="J19" s="7" t="inlineStr"/>
      <c r="K19" s="7" t="inlineStr"/>
      <c r="L19" s="7" t="inlineStr"/>
      <c r="M19" s="7" t="inlineStr"/>
    </row>
    <row r="20">
      <c r="A20" s="7" t="inlineStr">
        <is>
          <t>jll</t>
        </is>
      </c>
      <c r="B20" s="7" t="inlineStr">
        <is>
          <t>JLL India</t>
        </is>
      </c>
      <c r="C20" s="7" t="inlineStr"/>
      <c r="D20" s="7" t="inlineStr"/>
      <c r="E20" s="7" t="inlineStr"/>
      <c r="F20" s="7" t="inlineStr">
        <is>
          <t>Pending</t>
        </is>
      </c>
      <c r="G20" s="7" t="n">
        <v>0</v>
      </c>
      <c r="H20" s="7" t="n">
        <v>0</v>
      </c>
      <c r="I20" s="7" t="n">
        <v>0</v>
      </c>
      <c r="J20" s="7" t="inlineStr"/>
      <c r="K20" s="7" t="inlineStr"/>
      <c r="L20" s="7" t="inlineStr"/>
      <c r="M20" s="7" t="inlineStr"/>
    </row>
    <row r="21">
      <c r="A21" s="7" t="inlineStr">
        <is>
          <t>anarock</t>
        </is>
      </c>
      <c r="B21" s="7" t="inlineStr">
        <is>
          <t>Anarock</t>
        </is>
      </c>
      <c r="C21" s="7" t="inlineStr"/>
      <c r="D21" s="7" t="inlineStr"/>
      <c r="E21" s="7" t="inlineStr"/>
      <c r="F21" s="7" t="inlineStr">
        <is>
          <t>Pending</t>
        </is>
      </c>
      <c r="G21" s="7" t="n">
        <v>0</v>
      </c>
      <c r="H21" s="7" t="n">
        <v>0</v>
      </c>
      <c r="I21" s="7" t="n">
        <v>0</v>
      </c>
      <c r="J21" s="7" t="inlineStr"/>
      <c r="K21" s="7" t="inlineStr"/>
      <c r="L21" s="7" t="inlineStr"/>
      <c r="M21" s="7" t="inlineStr"/>
    </row>
  </sheetData>
  <mergeCells count="1">
    <mergeCell ref="A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18" customWidth="1" min="2" max="2"/>
    <col width="14" customWidth="1" min="3" max="3"/>
    <col width="36" customWidth="1" min="4" max="4"/>
    <col width="36" customWidth="1" min="5" max="5"/>
    <col width="14" customWidth="1" min="6" max="6"/>
    <col width="8" customWidth="1" min="7" max="7"/>
    <col width="8" customWidth="1" min="8" max="8"/>
    <col width="10" customWidth="1" min="9" max="9"/>
    <col width="16" customWidth="1" min="10" max="10"/>
    <col width="14" customWidth="1" min="11" max="11"/>
    <col width="14" customWidth="1" min="12" max="12"/>
    <col width="30" customWidth="1" min="13" max="13"/>
  </cols>
  <sheetData>
    <row r="1" ht="28" customHeight="1">
      <c r="A1" s="8" t="inlineStr">
        <is>
          <t>Ad Status Tracker  –  2BHK Flat - Madhapur</t>
        </is>
      </c>
    </row>
    <row r="2" ht="20" customHeight="1">
      <c r="A2" s="9" t="inlineStr">
        <is>
          <t>Site ID</t>
        </is>
      </c>
      <c r="B2" s="9" t="inlineStr">
        <is>
          <t>Site Name</t>
        </is>
      </c>
      <c r="C2" s="9" t="inlineStr">
        <is>
          <t>Ad Posted Date</t>
        </is>
      </c>
      <c r="D2" s="9" t="inlineStr">
        <is>
          <t>Ad URL</t>
        </is>
      </c>
      <c r="E2" s="9" t="inlineStr">
        <is>
          <t>Ad Title</t>
        </is>
      </c>
      <c r="F2" s="9" t="inlineStr">
        <is>
          <t>Status</t>
        </is>
      </c>
      <c r="G2" s="9" t="inlineStr">
        <is>
          <t>Views</t>
        </is>
      </c>
      <c r="H2" s="9" t="inlineStr">
        <is>
          <t>Clicks</t>
        </is>
      </c>
      <c r="I2" s="9" t="inlineStr">
        <is>
          <t>Inquiries</t>
        </is>
      </c>
      <c r="J2" s="9" t="inlineStr">
        <is>
          <t>Last Updated</t>
        </is>
      </c>
      <c r="K2" s="9" t="inlineStr">
        <is>
          <t>Ad Expiry Date</t>
        </is>
      </c>
      <c r="L2" s="9" t="inlineStr">
        <is>
          <t>Renewal Needed</t>
        </is>
      </c>
      <c r="M2" s="9" t="inlineStr">
        <is>
          <t>Notes</t>
        </is>
      </c>
    </row>
    <row r="3">
      <c r="A3" s="7" t="inlineStr">
        <is>
          <t>magicbricks</t>
        </is>
      </c>
      <c r="B3" s="7" t="inlineStr">
        <is>
          <t>MagicBricks</t>
        </is>
      </c>
      <c r="C3" s="7" t="inlineStr"/>
      <c r="D3" s="7" t="inlineStr"/>
      <c r="E3" s="7" t="inlineStr"/>
      <c r="F3" s="7" t="inlineStr">
        <is>
          <t>Pending</t>
        </is>
      </c>
      <c r="G3" s="7" t="n">
        <v>0</v>
      </c>
      <c r="H3" s="7" t="n">
        <v>0</v>
      </c>
      <c r="I3" s="7" t="n">
        <v>0</v>
      </c>
      <c r="J3" s="7" t="inlineStr"/>
      <c r="K3" s="7" t="inlineStr"/>
      <c r="L3" s="7" t="inlineStr"/>
      <c r="M3" s="7" t="inlineStr"/>
    </row>
    <row r="4">
      <c r="A4" s="7" t="inlineStr">
        <is>
          <t>99acres</t>
        </is>
      </c>
      <c r="B4" s="7" t="inlineStr">
        <is>
          <t>99acres</t>
        </is>
      </c>
      <c r="C4" s="7" t="inlineStr"/>
      <c r="D4" s="7" t="inlineStr"/>
      <c r="E4" s="7" t="inlineStr"/>
      <c r="F4" s="7" t="inlineStr">
        <is>
          <t>Pending</t>
        </is>
      </c>
      <c r="G4" s="7" t="n">
        <v>0</v>
      </c>
      <c r="H4" s="7" t="n">
        <v>0</v>
      </c>
      <c r="I4" s="7" t="n">
        <v>0</v>
      </c>
      <c r="J4" s="7" t="inlineStr"/>
      <c r="K4" s="7" t="inlineStr"/>
      <c r="L4" s="7" t="inlineStr"/>
      <c r="M4" s="7" t="inlineStr"/>
    </row>
    <row r="5">
      <c r="A5" s="7" t="inlineStr">
        <is>
          <t>housing</t>
        </is>
      </c>
      <c r="B5" s="7" t="inlineStr">
        <is>
          <t>Housing.com</t>
        </is>
      </c>
      <c r="C5" s="7" t="inlineStr"/>
      <c r="D5" s="7" t="inlineStr"/>
      <c r="E5" s="7" t="inlineStr"/>
      <c r="F5" s="7" t="inlineStr">
        <is>
          <t>Pending</t>
        </is>
      </c>
      <c r="G5" s="7" t="n">
        <v>0</v>
      </c>
      <c r="H5" s="7" t="n">
        <v>0</v>
      </c>
      <c r="I5" s="7" t="n">
        <v>0</v>
      </c>
      <c r="J5" s="7" t="inlineStr"/>
      <c r="K5" s="7" t="inlineStr"/>
      <c r="L5" s="7" t="inlineStr"/>
      <c r="M5" s="7" t="inlineStr"/>
    </row>
    <row r="6">
      <c r="A6" s="7" t="inlineStr">
        <is>
          <t>nobroker</t>
        </is>
      </c>
      <c r="B6" s="7" t="inlineStr">
        <is>
          <t>NoBroker</t>
        </is>
      </c>
      <c r="C6" s="7" t="inlineStr"/>
      <c r="D6" s="7" t="inlineStr"/>
      <c r="E6" s="7" t="inlineStr"/>
      <c r="F6" s="7" t="inlineStr">
        <is>
          <t>Pending</t>
        </is>
      </c>
      <c r="G6" s="7" t="n">
        <v>0</v>
      </c>
      <c r="H6" s="7" t="n">
        <v>0</v>
      </c>
      <c r="I6" s="7" t="n">
        <v>0</v>
      </c>
      <c r="J6" s="7" t="inlineStr"/>
      <c r="K6" s="7" t="inlineStr"/>
      <c r="L6" s="7" t="inlineStr"/>
      <c r="M6" s="7" t="inlineStr"/>
    </row>
    <row r="7">
      <c r="A7" s="7" t="inlineStr">
        <is>
          <t>olx</t>
        </is>
      </c>
      <c r="B7" s="7" t="inlineStr">
        <is>
          <t>OLX</t>
        </is>
      </c>
      <c r="C7" s="7" t="inlineStr"/>
      <c r="D7" s="7" t="inlineStr"/>
      <c r="E7" s="7" t="inlineStr"/>
      <c r="F7" s="7" t="inlineStr">
        <is>
          <t>Pending</t>
        </is>
      </c>
      <c r="G7" s="7" t="n">
        <v>0</v>
      </c>
      <c r="H7" s="7" t="n">
        <v>0</v>
      </c>
      <c r="I7" s="7" t="n">
        <v>0</v>
      </c>
      <c r="J7" s="7" t="inlineStr"/>
      <c r="K7" s="7" t="inlineStr"/>
      <c r="L7" s="7" t="inlineStr"/>
      <c r="M7" s="7" t="inlineStr"/>
    </row>
    <row r="8">
      <c r="A8" s="7" t="inlineStr">
        <is>
          <t>quikr</t>
        </is>
      </c>
      <c r="B8" s="7" t="inlineStr">
        <is>
          <t>Quikr</t>
        </is>
      </c>
      <c r="C8" s="7" t="inlineStr"/>
      <c r="D8" s="7" t="inlineStr"/>
      <c r="E8" s="7" t="inlineStr"/>
      <c r="F8" s="7" t="inlineStr">
        <is>
          <t>Pending</t>
        </is>
      </c>
      <c r="G8" s="7" t="n">
        <v>0</v>
      </c>
      <c r="H8" s="7" t="n">
        <v>0</v>
      </c>
      <c r="I8" s="7" t="n">
        <v>0</v>
      </c>
      <c r="J8" s="7" t="inlineStr"/>
      <c r="K8" s="7" t="inlineStr"/>
      <c r="L8" s="7" t="inlineStr"/>
      <c r="M8" s="7" t="inlineStr"/>
    </row>
    <row r="9">
      <c r="A9" s="7" t="inlineStr">
        <is>
          <t>commonfloor</t>
        </is>
      </c>
      <c r="B9" s="7" t="inlineStr">
        <is>
          <t>CommonFloor</t>
        </is>
      </c>
      <c r="C9" s="7" t="inlineStr"/>
      <c r="D9" s="7" t="inlineStr"/>
      <c r="E9" s="7" t="inlineStr"/>
      <c r="F9" s="7" t="inlineStr">
        <is>
          <t>Pending</t>
        </is>
      </c>
      <c r="G9" s="7" t="n">
        <v>0</v>
      </c>
      <c r="H9" s="7" t="n">
        <v>0</v>
      </c>
      <c r="I9" s="7" t="n">
        <v>0</v>
      </c>
      <c r="J9" s="7" t="inlineStr"/>
      <c r="K9" s="7" t="inlineStr"/>
      <c r="L9" s="7" t="inlineStr"/>
      <c r="M9" s="7" t="inlineStr"/>
    </row>
    <row r="10">
      <c r="A10" s="7" t="inlineStr">
        <is>
          <t>sulekha</t>
        </is>
      </c>
      <c r="B10" s="7" t="inlineStr">
        <is>
          <t>Sulekha</t>
        </is>
      </c>
      <c r="C10" s="7" t="inlineStr"/>
      <c r="D10" s="7" t="inlineStr"/>
      <c r="E10" s="7" t="inlineStr"/>
      <c r="F10" s="7" t="inlineStr">
        <is>
          <t>Pending</t>
        </is>
      </c>
      <c r="G10" s="7" t="n">
        <v>0</v>
      </c>
      <c r="H10" s="7" t="n">
        <v>0</v>
      </c>
      <c r="I10" s="7" t="n">
        <v>0</v>
      </c>
      <c r="J10" s="7" t="inlineStr"/>
      <c r="K10" s="7" t="inlineStr"/>
      <c r="L10" s="7" t="inlineStr"/>
      <c r="M10" s="7" t="inlineStr"/>
    </row>
    <row r="11">
      <c r="A11" s="7" t="inlineStr">
        <is>
          <t>proptiger</t>
        </is>
      </c>
      <c r="B11" s="7" t="inlineStr">
        <is>
          <t>PropTiger</t>
        </is>
      </c>
      <c r="C11" s="7" t="inlineStr"/>
      <c r="D11" s="7" t="inlineStr"/>
      <c r="E11" s="7" t="inlineStr"/>
      <c r="F11" s="7" t="inlineStr">
        <is>
          <t>Pending</t>
        </is>
      </c>
      <c r="G11" s="7" t="n">
        <v>0</v>
      </c>
      <c r="H11" s="7" t="n">
        <v>0</v>
      </c>
      <c r="I11" s="7" t="n">
        <v>0</v>
      </c>
      <c r="J11" s="7" t="inlineStr"/>
      <c r="K11" s="7" t="inlineStr"/>
      <c r="L11" s="7" t="inlineStr"/>
      <c r="M11" s="7" t="inlineStr"/>
    </row>
    <row r="12">
      <c r="A12" s="7" t="inlineStr">
        <is>
          <t>makaan</t>
        </is>
      </c>
      <c r="B12" s="7" t="inlineStr">
        <is>
          <t>Makaan.com</t>
        </is>
      </c>
      <c r="C12" s="7" t="inlineStr"/>
      <c r="D12" s="7" t="inlineStr"/>
      <c r="E12" s="7" t="inlineStr"/>
      <c r="F12" s="7" t="inlineStr">
        <is>
          <t>Pending</t>
        </is>
      </c>
      <c r="G12" s="7" t="n">
        <v>0</v>
      </c>
      <c r="H12" s="7" t="n">
        <v>0</v>
      </c>
      <c r="I12" s="7" t="n">
        <v>0</v>
      </c>
      <c r="J12" s="7" t="inlineStr"/>
      <c r="K12" s="7" t="inlineStr"/>
      <c r="L12" s="7" t="inlineStr"/>
      <c r="M12" s="7" t="inlineStr"/>
    </row>
    <row r="13">
      <c r="A13" s="7" t="inlineStr">
        <is>
          <t>squareyards</t>
        </is>
      </c>
      <c r="B13" s="7" t="inlineStr">
        <is>
          <t>Square Yards</t>
        </is>
      </c>
      <c r="C13" s="7" t="inlineStr"/>
      <c r="D13" s="7" t="inlineStr"/>
      <c r="E13" s="7" t="inlineStr"/>
      <c r="F13" s="7" t="inlineStr">
        <is>
          <t>Pending</t>
        </is>
      </c>
      <c r="G13" s="7" t="n">
        <v>0</v>
      </c>
      <c r="H13" s="7" t="n">
        <v>0</v>
      </c>
      <c r="I13" s="7" t="n">
        <v>0</v>
      </c>
      <c r="J13" s="7" t="inlineStr"/>
      <c r="K13" s="7" t="inlineStr"/>
      <c r="L13" s="7" t="inlineStr"/>
      <c r="M13" s="7" t="inlineStr"/>
    </row>
    <row r="14">
      <c r="A14" s="7" t="inlineStr">
        <is>
          <t>indiaproperty</t>
        </is>
      </c>
      <c r="B14" s="7" t="inlineStr">
        <is>
          <t>India Property</t>
        </is>
      </c>
      <c r="C14" s="7" t="inlineStr"/>
      <c r="D14" s="7" t="inlineStr"/>
      <c r="E14" s="7" t="inlineStr"/>
      <c r="F14" s="7" t="inlineStr">
        <is>
          <t>Pending</t>
        </is>
      </c>
      <c r="G14" s="7" t="n">
        <v>0</v>
      </c>
      <c r="H14" s="7" t="n">
        <v>0</v>
      </c>
      <c r="I14" s="7" t="n">
        <v>0</v>
      </c>
      <c r="J14" s="7" t="inlineStr"/>
      <c r="K14" s="7" t="inlineStr"/>
      <c r="L14" s="7" t="inlineStr"/>
      <c r="M14" s="7" t="inlineStr"/>
    </row>
    <row r="15">
      <c r="A15" s="7" t="inlineStr">
        <is>
          <t>nestoria</t>
        </is>
      </c>
      <c r="B15" s="7" t="inlineStr">
        <is>
          <t>Nestoria India</t>
        </is>
      </c>
      <c r="C15" s="7" t="inlineStr"/>
      <c r="D15" s="7" t="inlineStr"/>
      <c r="E15" s="7" t="inlineStr"/>
      <c r="F15" s="7" t="inlineStr">
        <is>
          <t>Pending</t>
        </is>
      </c>
      <c r="G15" s="7" t="n">
        <v>0</v>
      </c>
      <c r="H15" s="7" t="n">
        <v>0</v>
      </c>
      <c r="I15" s="7" t="n">
        <v>0</v>
      </c>
      <c r="J15" s="7" t="inlineStr"/>
      <c r="K15" s="7" t="inlineStr"/>
      <c r="L15" s="7" t="inlineStr"/>
      <c r="M15" s="7" t="inlineStr"/>
    </row>
    <row r="16">
      <c r="A16" s="7" t="inlineStr">
        <is>
          <t>propertywala</t>
        </is>
      </c>
      <c r="B16" s="7" t="inlineStr">
        <is>
          <t>PropertyWala</t>
        </is>
      </c>
      <c r="C16" s="7" t="inlineStr"/>
      <c r="D16" s="7" t="inlineStr"/>
      <c r="E16" s="7" t="inlineStr"/>
      <c r="F16" s="7" t="inlineStr">
        <is>
          <t>Pending</t>
        </is>
      </c>
      <c r="G16" s="7" t="n">
        <v>0</v>
      </c>
      <c r="H16" s="7" t="n">
        <v>0</v>
      </c>
      <c r="I16" s="7" t="n">
        <v>0</v>
      </c>
      <c r="J16" s="7" t="inlineStr"/>
      <c r="K16" s="7" t="inlineStr"/>
      <c r="L16" s="7" t="inlineStr"/>
      <c r="M16" s="7" t="inlineStr"/>
    </row>
    <row r="17">
      <c r="A17" s="7" t="inlineStr">
        <is>
          <t>homeonline</t>
        </is>
      </c>
      <c r="B17" s="7" t="inlineStr">
        <is>
          <t>HomeOnline</t>
        </is>
      </c>
      <c r="C17" s="7" t="inlineStr"/>
      <c r="D17" s="7" t="inlineStr"/>
      <c r="E17" s="7" t="inlineStr"/>
      <c r="F17" s="7" t="inlineStr">
        <is>
          <t>Pending</t>
        </is>
      </c>
      <c r="G17" s="7" t="n">
        <v>0</v>
      </c>
      <c r="H17" s="7" t="n">
        <v>0</v>
      </c>
      <c r="I17" s="7" t="n">
        <v>0</v>
      </c>
      <c r="J17" s="7" t="inlineStr"/>
      <c r="K17" s="7" t="inlineStr"/>
      <c r="L17" s="7" t="inlineStr"/>
      <c r="M17" s="7" t="inlineStr"/>
    </row>
    <row r="18">
      <c r="A18" s="7" t="inlineStr">
        <is>
          <t>facebook</t>
        </is>
      </c>
      <c r="B18" s="7" t="inlineStr">
        <is>
          <t>Facebook Marketplace</t>
        </is>
      </c>
      <c r="C18" s="7" t="inlineStr"/>
      <c r="D18" s="7" t="inlineStr"/>
      <c r="E18" s="7" t="inlineStr"/>
      <c r="F18" s="7" t="inlineStr">
        <is>
          <t>Pending</t>
        </is>
      </c>
      <c r="G18" s="7" t="n">
        <v>0</v>
      </c>
      <c r="H18" s="7" t="n">
        <v>0</v>
      </c>
      <c r="I18" s="7" t="n">
        <v>0</v>
      </c>
      <c r="J18" s="7" t="inlineStr"/>
      <c r="K18" s="7" t="inlineStr"/>
      <c r="L18" s="7" t="inlineStr"/>
      <c r="M18" s="7" t="inlineStr"/>
    </row>
    <row r="19">
      <c r="A19" s="7" t="inlineStr">
        <is>
          <t>instagram</t>
        </is>
      </c>
      <c r="B19" s="7" t="inlineStr">
        <is>
          <t>Instagram (Manual)</t>
        </is>
      </c>
      <c r="C19" s="7" t="inlineStr"/>
      <c r="D19" s="7" t="inlineStr"/>
      <c r="E19" s="7" t="inlineStr"/>
      <c r="F19" s="7" t="inlineStr">
        <is>
          <t>Pending</t>
        </is>
      </c>
      <c r="G19" s="7" t="n">
        <v>0</v>
      </c>
      <c r="H19" s="7" t="n">
        <v>0</v>
      </c>
      <c r="I19" s="7" t="n">
        <v>0</v>
      </c>
      <c r="J19" s="7" t="inlineStr"/>
      <c r="K19" s="7" t="inlineStr"/>
      <c r="L19" s="7" t="inlineStr"/>
      <c r="M19" s="7" t="inlineStr"/>
    </row>
    <row r="20">
      <c r="A20" s="7" t="inlineStr">
        <is>
          <t>jll</t>
        </is>
      </c>
      <c r="B20" s="7" t="inlineStr">
        <is>
          <t>JLL India</t>
        </is>
      </c>
      <c r="C20" s="7" t="inlineStr"/>
      <c r="D20" s="7" t="inlineStr"/>
      <c r="E20" s="7" t="inlineStr"/>
      <c r="F20" s="7" t="inlineStr">
        <is>
          <t>Pending</t>
        </is>
      </c>
      <c r="G20" s="7" t="n">
        <v>0</v>
      </c>
      <c r="H20" s="7" t="n">
        <v>0</v>
      </c>
      <c r="I20" s="7" t="n">
        <v>0</v>
      </c>
      <c r="J20" s="7" t="inlineStr"/>
      <c r="K20" s="7" t="inlineStr"/>
      <c r="L20" s="7" t="inlineStr"/>
      <c r="M20" s="7" t="inlineStr"/>
    </row>
    <row r="21">
      <c r="A21" s="7" t="inlineStr">
        <is>
          <t>anarock</t>
        </is>
      </c>
      <c r="B21" s="7" t="inlineStr">
        <is>
          <t>Anarock</t>
        </is>
      </c>
      <c r="C21" s="7" t="inlineStr"/>
      <c r="D21" s="7" t="inlineStr"/>
      <c r="E21" s="7" t="inlineStr"/>
      <c r="F21" s="7" t="inlineStr">
        <is>
          <t>Pending</t>
        </is>
      </c>
      <c r="G21" s="7" t="n">
        <v>0</v>
      </c>
      <c r="H21" s="7" t="n">
        <v>0</v>
      </c>
      <c r="I21" s="7" t="n">
        <v>0</v>
      </c>
      <c r="J21" s="7" t="inlineStr"/>
      <c r="K21" s="7" t="inlineStr"/>
      <c r="L21" s="7" t="inlineStr"/>
      <c r="M21" s="7" t="inlineStr"/>
    </row>
  </sheetData>
  <mergeCells count="1">
    <mergeCell ref="A1:M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8" customWidth="1" min="2" max="2"/>
    <col width="14" customWidth="1" min="3" max="3"/>
    <col width="18" customWidth="1" min="4" max="4"/>
    <col width="20" customWidth="1" min="5" max="5"/>
    <col width="16" customWidth="1" min="6" max="6"/>
    <col width="24" customWidth="1" min="7" max="7"/>
    <col width="34" customWidth="1" min="8" max="8"/>
    <col width="18" customWidth="1" min="9" max="9"/>
    <col width="16" customWidth="1" min="10" max="10"/>
    <col width="16" customWidth="1" min="11" max="11"/>
    <col width="14" customWidth="1" min="12" max="12"/>
    <col width="14" customWidth="1" min="13" max="13"/>
    <col width="30" customWidth="1" min="14" max="14"/>
  </cols>
  <sheetData>
    <row r="1" ht="28" customHeight="1">
      <c r="A1" s="10" t="inlineStr">
        <is>
          <t>Contact Tracker  –  Update Follow-up Status after every call/message</t>
        </is>
      </c>
    </row>
    <row r="2" ht="20" customHeight="1">
      <c r="A2" s="11" t="inlineStr">
        <is>
          <t>Date</t>
        </is>
      </c>
      <c r="B2" s="11" t="inlineStr">
        <is>
          <t>Time</t>
        </is>
      </c>
      <c r="C2" s="11" t="inlineStr">
        <is>
          <t>Property</t>
        </is>
      </c>
      <c r="D2" s="11" t="inlineStr">
        <is>
          <t>Site</t>
        </is>
      </c>
      <c r="E2" s="11" t="inlineStr">
        <is>
          <t>Contact Name</t>
        </is>
      </c>
      <c r="F2" s="11" t="inlineStr">
        <is>
          <t>Phone</t>
        </is>
      </c>
      <c r="G2" s="11" t="inlineStr">
        <is>
          <t>Email</t>
        </is>
      </c>
      <c r="H2" s="11" t="inlineStr">
        <is>
          <t>Message / Query</t>
        </is>
      </c>
      <c r="I2" s="11" t="inlineStr">
        <is>
          <t>Follow-up Status</t>
        </is>
      </c>
      <c r="J2" s="11" t="inlineStr">
        <is>
          <t>Last Follow-up Date</t>
        </is>
      </c>
      <c r="K2" s="11" t="inlineStr">
        <is>
          <t>Next Follow-up Date</t>
        </is>
      </c>
      <c r="L2" s="11" t="inlineStr">
        <is>
          <t>Asking Price</t>
        </is>
      </c>
      <c r="M2" s="11" t="inlineStr">
        <is>
          <t>Offered Price</t>
        </is>
      </c>
      <c r="N2" s="11" t="inlineStr">
        <is>
          <t>Notes</t>
        </is>
      </c>
    </row>
    <row r="3"/>
  </sheetData>
  <mergeCells count="1">
    <mergeCell ref="A1:N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24" customWidth="1" min="1" max="1"/>
    <col width="18" customWidth="1" min="2" max="2"/>
    <col width="18" customWidth="1" min="3" max="3"/>
    <col width="12" customWidth="1" min="4" max="4"/>
    <col width="12" customWidth="1" min="5" max="5"/>
    <col width="12" customWidth="1" min="6" max="6"/>
  </cols>
  <sheetData>
    <row r="1" ht="32" customHeight="1">
      <c r="A1" s="12" t="inlineStr">
        <is>
          <t>HOUSING ADS DASHBOARD  –  Hyderabad</t>
        </is>
      </c>
    </row>
    <row r="2">
      <c r="A2" s="13" t="inlineStr">
        <is>
          <t>Last Refreshed:</t>
        </is>
      </c>
      <c r="B2" s="14">
        <f>TEXT(NOW(),"DD-MM-YYYY HH:MM")</f>
        <v/>
      </c>
    </row>
    <row r="4">
      <c r="A4" s="15" t="inlineStr">
        <is>
          <t>AD STATUS OVERVIEW</t>
        </is>
      </c>
    </row>
    <row r="5">
      <c r="A5" s="16" t="inlineStr">
        <is>
          <t>Metric</t>
        </is>
      </c>
      <c r="B5" s="16" t="inlineStr">
        <is>
          <t>3BHK Flat - Banjara Hills</t>
        </is>
      </c>
      <c r="C5" s="16" t="inlineStr">
        <is>
          <t>2BHK Flat - Madhapur</t>
        </is>
      </c>
      <c r="D5" s="16" t="inlineStr">
        <is>
          <t>TOTAL</t>
        </is>
      </c>
    </row>
    <row r="6">
      <c r="A6" s="17" t="inlineStr">
        <is>
          <t>Ads – Active</t>
        </is>
      </c>
      <c r="B6" s="18">
        <f>COUNTIF('Property 1 Status'!F3:F100,"Active")</f>
        <v/>
      </c>
      <c r="C6" s="18">
        <f>COUNTIF('Property 2 Status'!F3:F100,"Active")</f>
        <v/>
      </c>
      <c r="D6" s="18">
        <f>B6+C6</f>
        <v/>
      </c>
    </row>
    <row r="7">
      <c r="A7" s="17" t="inlineStr">
        <is>
          <t>Ads – Pending</t>
        </is>
      </c>
      <c r="B7" s="18">
        <f>COUNTIF('Property 1 Status'!F3:F100,"Pending")</f>
        <v/>
      </c>
      <c r="C7" s="18">
        <f>COUNTIF('Property 2 Status'!F3:F100,"Pending")</f>
        <v/>
      </c>
      <c r="D7" s="18">
        <f>B7+C7</f>
        <v/>
      </c>
    </row>
    <row r="8">
      <c r="A8" s="17" t="inlineStr">
        <is>
          <t>Ads – Failed</t>
        </is>
      </c>
      <c r="B8" s="18">
        <f>COUNTIF('Property 1 Status'!F3:F100,"Failed")</f>
        <v/>
      </c>
      <c r="C8" s="18">
        <f>COUNTIF('Property 2 Status'!F3:F100,"Failed")</f>
        <v/>
      </c>
      <c r="D8" s="18">
        <f>B8+C8</f>
        <v/>
      </c>
    </row>
    <row r="9">
      <c r="A9" s="17" t="inlineStr">
        <is>
          <t>Total Views</t>
        </is>
      </c>
      <c r="B9" s="18">
        <f>SUM('Property 1 Status'!G3:G100)</f>
        <v/>
      </c>
      <c r="C9" s="18">
        <f>SUM('Property 2 Status'!G3:G100)</f>
        <v/>
      </c>
      <c r="D9" s="18">
        <f>B9+C9</f>
        <v/>
      </c>
    </row>
    <row r="10">
      <c r="A10" s="17" t="inlineStr">
        <is>
          <t>Total Clicks</t>
        </is>
      </c>
      <c r="B10" s="18">
        <f>SUM('Property 1 Status'!H3:H100)</f>
        <v/>
      </c>
      <c r="C10" s="18">
        <f>SUM('Property 2 Status'!H3:H100)</f>
        <v/>
      </c>
      <c r="D10" s="18">
        <f>B10+C10</f>
        <v/>
      </c>
    </row>
    <row r="11">
      <c r="A11" s="17" t="inlineStr">
        <is>
          <t>Total Inquiries</t>
        </is>
      </c>
      <c r="B11" s="18">
        <f>SUM('Property 1 Status'!I3:I100)</f>
        <v/>
      </c>
      <c r="C11" s="18">
        <f>SUM('Property 2 Status'!I3:I100)</f>
        <v/>
      </c>
      <c r="D11" s="18">
        <f>B11+C11</f>
        <v/>
      </c>
    </row>
    <row r="13">
      <c r="A13" s="19" t="inlineStr">
        <is>
          <t>BUYER CONTACT PIPELINE</t>
        </is>
      </c>
    </row>
    <row r="14">
      <c r="A14" s="20" t="inlineStr">
        <is>
          <t>New</t>
        </is>
      </c>
      <c r="B14" s="21">
        <f>COUNTIF('Contacts'!I3:I200,"New")</f>
        <v/>
      </c>
    </row>
    <row r="15">
      <c r="A15" s="22" t="inlineStr">
        <is>
          <t>Interested</t>
        </is>
      </c>
      <c r="B15" s="23">
        <f>COUNTIF('Contacts'!I3:I200,"Interested")</f>
        <v/>
      </c>
    </row>
    <row r="16">
      <c r="A16" s="24" t="inlineStr">
        <is>
          <t>Very Interested</t>
        </is>
      </c>
      <c r="B16" s="25">
        <f>COUNTIF('Contacts'!I3:I200,"Very Interested")</f>
        <v/>
      </c>
    </row>
    <row r="17">
      <c r="A17" s="24" t="inlineStr">
        <is>
          <t>Negotiating</t>
        </is>
      </c>
      <c r="B17" s="25">
        <f>COUNTIF('Contacts'!I3:I200,"Negotiating")</f>
        <v/>
      </c>
    </row>
    <row r="18">
      <c r="A18" s="26" t="inlineStr">
        <is>
          <t>Closed / Sold</t>
        </is>
      </c>
      <c r="B18" s="27">
        <f>COUNTIF('Contacts'!I3:I200,"Closed / Sold")</f>
        <v/>
      </c>
    </row>
    <row r="19">
      <c r="A19" s="28" t="inlineStr">
        <is>
          <t>Not Interested</t>
        </is>
      </c>
      <c r="B19" s="29">
        <f>COUNTIF('Contacts'!I3:I200,"Not Interested")</f>
        <v/>
      </c>
    </row>
    <row r="20">
      <c r="A20" s="30" t="inlineStr">
        <is>
          <t>No Response</t>
        </is>
      </c>
      <c r="B20" s="31">
        <f>COUNTIF('Contacts'!I3:I200,"No Response")</f>
        <v/>
      </c>
    </row>
    <row r="22">
      <c r="A22" s="32" t="inlineStr">
        <is>
          <t>TOP SITES BY PERFORMANCE  (refresh via: python analytics.py)</t>
        </is>
      </c>
    </row>
  </sheetData>
  <mergeCells count="4">
    <mergeCell ref="A13:F13"/>
    <mergeCell ref="A22:F2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2026-04-05T05:24:41Z</dcterms:created>
  <dcterms:modified xmlns:dcterms="http://purl.org/dc/terms/" xmlns:xsi="http://www.w3.org/2001/XMLSchema-instance" xsi:type="dcterms:W3CDTF">2026-04-05T05:24:41Z</dcterms:modified>
</cp:coreProperties>
</file>